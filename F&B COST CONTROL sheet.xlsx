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Pivot Table" sheetId="2" r:id="rId1"/>
    <sheet name="Sheet1" sheetId="1" r:id="rId2"/>
  </sheets>
  <calcPr calcId="162913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2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<sst xmlns="http://schemas.openxmlformats.org/spreadsheetml/2006/main" count="34" uniqueCount="25">
  <si>
    <t xml:space="preserve">Item </t>
  </si>
  <si>
    <t>Opening Stock</t>
  </si>
  <si>
    <t>Purchases</t>
  </si>
  <si>
    <t>Transfers</t>
  </si>
  <si>
    <t>Closing Stock</t>
  </si>
  <si>
    <t>Actual Consumption</t>
  </si>
  <si>
    <t>Theoretical Consumption</t>
  </si>
  <si>
    <t xml:space="preserve">Variance </t>
  </si>
  <si>
    <t>Unit Cost</t>
  </si>
  <si>
    <t>Water bottles</t>
  </si>
  <si>
    <t>Soft Drinks</t>
  </si>
  <si>
    <t>Wine Bottles</t>
  </si>
  <si>
    <t>Juice Boxes</t>
  </si>
  <si>
    <t>Beer</t>
  </si>
  <si>
    <t>Cost Variance</t>
  </si>
  <si>
    <t>Energy Drinks</t>
  </si>
  <si>
    <t>Milk(1L)</t>
  </si>
  <si>
    <t>Tea Bags</t>
  </si>
  <si>
    <t>Coffee Beans(kg)</t>
  </si>
  <si>
    <t>Row Labels</t>
  </si>
  <si>
    <t>Grand Total</t>
  </si>
  <si>
    <t>Sum of Actual Consumption</t>
  </si>
  <si>
    <t>Sum of Theoretical Consumption</t>
  </si>
  <si>
    <t xml:space="preserve">Sum of Variance </t>
  </si>
  <si>
    <t>Sum of Cost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</si>
</sst>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F&amp;B%20COST%20CONTROL%20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93.553392013891" createdVersion="6" refreshedVersion="6" minRefreshableVersion="3" recordCount="9">
  <cacheSource type="worksheet">
    <worksheetSource ref="A1:J10" sheet="Sheet1" r:id="rId2"/>
  </cacheSource>
  <cacheFields count="10">
    <cacheField name="Item " numFmtId="0">
      <sharedItems count="9">
        <s v="Water bottles"/>
        <s v="Soft Drinks"/>
        <s v="Wine Bottles"/>
        <s v="Juice Boxes"/>
        <s v="Beer"/>
        <s v="Energy Drinks"/>
        <s v="Milk(1L)"/>
        <s v="Tea Bags"/>
        <s v="Coffee Beans(kg)"/>
      </sharedItems>
    </cacheField>
    <cacheField name="Opening Stock" numFmtId="0">
      <sharedItems containsSemiMixedTypes="0" containsString="0" containsNumber="1" containsInteger="1" minValue="20" maxValue="300"/>
    </cacheField>
    <cacheField name="Purchases" numFmtId="0">
      <sharedItems containsSemiMixedTypes="0" containsString="0" containsNumber="1" containsInteger="1" minValue="5" maxValue="60"/>
    </cacheField>
    <cacheField name="Transfers" numFmtId="0">
      <sharedItems containsSemiMixedTypes="0" containsString="0" containsNumber="1" containsInteger="1" minValue="-10" maxValue="10"/>
    </cacheField>
    <cacheField name="Closing Stock" numFmtId="0">
      <sharedItems containsSemiMixedTypes="0" containsString="0" containsNumber="1" containsInteger="1" minValue="18" maxValue="310"/>
    </cacheField>
    <cacheField name="Actual Consumption" numFmtId="0">
      <sharedItems containsSemiMixedTypes="0" containsString="0" containsNumber="1" containsInteger="1" minValue="7" maxValue="75"/>
    </cacheField>
    <cacheField name="Theoretical Consumption" numFmtId="0">
      <sharedItems containsSemiMixedTypes="0" containsString="0" containsNumber="1" minValue="6.6499999999999995" maxValue="71.25"/>
    </cacheField>
    <cacheField name="Variance " numFmtId="0">
      <sharedItems containsSemiMixedTypes="0" containsString="0" containsNumber="1" minValue="0.35000000000000053" maxValue="3.75"/>
    </cacheField>
    <cacheField name="Unit Cost" numFmtId="2">
      <sharedItems containsSemiMixedTypes="0" containsString="0" containsNumber="1" minValue="0.05" maxValue="12.5"/>
    </cacheField>
    <cacheField name="Cost Variance" numFmtId="0">
      <sharedItems containsSemiMixedTypes="0" containsString="0" containsNumber="1" minValue="0.1" maxValue="21.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n v="120"/>
    <n v="60"/>
    <n v="-10"/>
    <n v="95"/>
    <n v="75"/>
    <n v="71.25"/>
    <n v="3.75"/>
    <n v="1.2"/>
    <n v="4.5"/>
  </r>
  <r>
    <x v="1"/>
    <n v="150"/>
    <n v="40"/>
    <n v="5"/>
    <n v="170"/>
    <n v="25"/>
    <n v="23.75"/>
    <n v="1.25"/>
    <n v="2"/>
    <n v="2.5"/>
  </r>
  <r>
    <x v="2"/>
    <n v="80"/>
    <n v="25"/>
    <n v="0"/>
    <n v="70"/>
    <n v="35"/>
    <n v="33.25"/>
    <n v="1.75"/>
    <n v="12.5"/>
    <n v="21.875"/>
  </r>
  <r>
    <x v="3"/>
    <n v="100"/>
    <n v="30"/>
    <n v="-5"/>
    <n v="90"/>
    <n v="35"/>
    <n v="33.25"/>
    <n v="1.75"/>
    <n v="1.8"/>
    <n v="3.15"/>
  </r>
  <r>
    <x v="4"/>
    <n v="200"/>
    <n v="50"/>
    <n v="10"/>
    <n v="210"/>
    <n v="50"/>
    <n v="47.5"/>
    <n v="2.5"/>
    <n v="1.5"/>
    <n v="3.75"/>
  </r>
  <r>
    <x v="5"/>
    <n v="90"/>
    <n v="20"/>
    <n v="0"/>
    <n v="80"/>
    <n v="30"/>
    <n v="28.5"/>
    <n v="1.5"/>
    <n v="2.8"/>
    <n v="4.1999999999999993"/>
  </r>
  <r>
    <x v="6"/>
    <n v="60"/>
    <n v="15"/>
    <n v="-3"/>
    <n v="55"/>
    <n v="17"/>
    <n v="16.149999999999999"/>
    <n v="0.85000000000000142"/>
    <n v="1.6"/>
    <n v="1.3600000000000023"/>
  </r>
  <r>
    <x v="7"/>
    <n v="300"/>
    <n v="50"/>
    <n v="0"/>
    <n v="310"/>
    <n v="40"/>
    <n v="38"/>
    <n v="2"/>
    <n v="0.05"/>
    <n v="0.1"/>
  </r>
  <r>
    <x v="8"/>
    <n v="20"/>
    <n v="5"/>
    <n v="0"/>
    <n v="18"/>
    <n v="7"/>
    <n v="6.6499999999999995"/>
    <n v="0.35000000000000053"/>
    <n v="8"/>
    <n v="2.80000000000000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3" firstHeaderRow="0" firstDataRow="1" firstDataCol="1"/>
  <pivotFields count="10">
    <pivotField axis="axisRow" showAll="0" defaultSubtotal="0">
      <items count="9">
        <item x="4"/>
        <item x="8"/>
        <item x="5"/>
        <item x="3"/>
        <item x="6"/>
        <item x="1"/>
        <item x="7"/>
        <item x="0"/>
        <item x="2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numFmtId="2" showAll="0" defaultSubtotal="0"/>
    <pivotField dataField="1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ctual Consumption" fld="5" baseField="0" baseItem="0"/>
    <dataField name="Sum of Theoretical Consumption" fld="6" baseField="0" baseItem="0" numFmtId="2"/>
    <dataField name="Sum of Variance " fld="7" baseField="0" baseItem="0" numFmtId="2"/>
    <dataField name="Sum of Cost Varianc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3"/>
  <sheetViews>
    <sheetView topLeftCell="D1" workbookViewId="0">
      <selection activeCell="A3" sqref="A3"/>
    </sheetView>
  </sheetViews>
  <sheetFormatPr defaultRowHeight="14.5" x14ac:dyDescent="0.35"/>
  <cols>
    <col min="1" max="1" width="14.90625" bestFit="1" customWidth="1"/>
    <col min="2" max="2" width="24.36328125" bestFit="1" customWidth="1"/>
    <col min="3" max="3" width="28.54296875" bestFit="1" customWidth="1"/>
    <col min="4" max="4" width="14.90625" bestFit="1" customWidth="1"/>
    <col min="5" max="5" width="18.7265625" bestFit="1" customWidth="1"/>
  </cols>
  <sheetData>
    <row r="3" spans="1:5" x14ac:dyDescent="0.35">
      <c r="A3" s="3" t="s">
        <v>19</v>
      </c>
      <c r="B3" t="s">
        <v>21</v>
      </c>
      <c r="C3" t="s">
        <v>22</v>
      </c>
      <c r="D3" t="s">
        <v>23</v>
      </c>
      <c r="E3" t="s">
        <v>24</v>
      </c>
    </row>
    <row r="4" spans="1:5" x14ac:dyDescent="0.35">
      <c r="A4" s="4" t="s">
        <v>13</v>
      </c>
      <c r="B4" s="5">
        <v>50</v>
      </c>
      <c r="C4" s="2">
        <v>47.5</v>
      </c>
      <c r="D4" s="2">
        <v>2.5</v>
      </c>
      <c r="E4" s="6">
        <v>3.75</v>
      </c>
    </row>
    <row r="5" spans="1:5" x14ac:dyDescent="0.35">
      <c r="A5" s="4" t="s">
        <v>18</v>
      </c>
      <c r="B5" s="5">
        <v>7</v>
      </c>
      <c r="C5" s="2">
        <v>6.6499999999999995</v>
      </c>
      <c r="D5" s="2">
        <v>0.35000000000000053</v>
      </c>
      <c r="E5" s="6">
        <v>2.8000000000000043</v>
      </c>
    </row>
    <row r="6" spans="1:5" x14ac:dyDescent="0.35">
      <c r="A6" s="4" t="s">
        <v>15</v>
      </c>
      <c r="B6" s="5">
        <v>30</v>
      </c>
      <c r="C6" s="2">
        <v>28.5</v>
      </c>
      <c r="D6" s="2">
        <v>1.5</v>
      </c>
      <c r="E6" s="6">
        <v>4.1999999999999993</v>
      </c>
    </row>
    <row r="7" spans="1:5" x14ac:dyDescent="0.35">
      <c r="A7" s="4" t="s">
        <v>12</v>
      </c>
      <c r="B7" s="5">
        <v>35</v>
      </c>
      <c r="C7" s="2">
        <v>33.25</v>
      </c>
      <c r="D7" s="2">
        <v>1.75</v>
      </c>
      <c r="E7" s="6">
        <v>3.15</v>
      </c>
    </row>
    <row r="8" spans="1:5" x14ac:dyDescent="0.35">
      <c r="A8" s="4" t="s">
        <v>16</v>
      </c>
      <c r="B8" s="5">
        <v>17</v>
      </c>
      <c r="C8" s="2">
        <v>16.149999999999999</v>
      </c>
      <c r="D8" s="2">
        <v>0.85000000000000142</v>
      </c>
      <c r="E8" s="6">
        <v>1.3600000000000023</v>
      </c>
    </row>
    <row r="9" spans="1:5" x14ac:dyDescent="0.35">
      <c r="A9" s="4" t="s">
        <v>10</v>
      </c>
      <c r="B9" s="5">
        <v>25</v>
      </c>
      <c r="C9" s="2">
        <v>23.75</v>
      </c>
      <c r="D9" s="2">
        <v>1.25</v>
      </c>
      <c r="E9" s="6">
        <v>2.5</v>
      </c>
    </row>
    <row r="10" spans="1:5" x14ac:dyDescent="0.35">
      <c r="A10" s="4" t="s">
        <v>17</v>
      </c>
      <c r="B10" s="5">
        <v>40</v>
      </c>
      <c r="C10" s="2">
        <v>38</v>
      </c>
      <c r="D10" s="2">
        <v>2</v>
      </c>
      <c r="E10" s="6">
        <v>0.1</v>
      </c>
    </row>
    <row r="11" spans="1:5" x14ac:dyDescent="0.35">
      <c r="A11" s="4" t="s">
        <v>9</v>
      </c>
      <c r="B11" s="5">
        <v>75</v>
      </c>
      <c r="C11" s="2">
        <v>71.25</v>
      </c>
      <c r="D11" s="2">
        <v>3.75</v>
      </c>
      <c r="E11" s="6">
        <v>4.5</v>
      </c>
    </row>
    <row r="12" spans="1:5" x14ac:dyDescent="0.35">
      <c r="A12" s="4" t="s">
        <v>11</v>
      </c>
      <c r="B12" s="5">
        <v>35</v>
      </c>
      <c r="C12" s="2">
        <v>33.25</v>
      </c>
      <c r="D12" s="2">
        <v>1.75</v>
      </c>
      <c r="E12" s="6">
        <v>21.875</v>
      </c>
    </row>
    <row r="13" spans="1:5" x14ac:dyDescent="0.35">
      <c r="A13" s="4" t="s">
        <v>20</v>
      </c>
      <c r="B13" s="5">
        <v>314</v>
      </c>
      <c r="C13" s="2">
        <v>298.3</v>
      </c>
      <c r="D13" s="2">
        <v>15.700000000000003</v>
      </c>
      <c r="E13" s="6">
        <v>44.235000000000007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0"/>
    </sheetView>
  </sheetViews>
  <sheetFormatPr defaultRowHeight="14.5" x14ac:dyDescent="0.35"/>
  <cols>
    <col min="1" max="1" width="16.90625" customWidth="1"/>
    <col min="2" max="2" width="17.54296875" customWidth="1"/>
    <col min="3" max="3" width="11.36328125" customWidth="1"/>
    <col min="5" max="5" width="18" customWidth="1"/>
    <col min="6" max="6" width="21.453125" customWidth="1"/>
    <col min="7" max="7" width="22.7265625" customWidth="1"/>
    <col min="8" max="8" width="10.36328125" customWidth="1"/>
    <col min="9" max="9" width="10" customWidth="1"/>
    <col min="10" max="10" width="14.6328125" customWidth="1"/>
  </cols>
  <sheetData>
    <row r="1" spans="1:10" ht="16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</row>
    <row r="2" spans="1:10" x14ac:dyDescent="0.35">
      <c r="A2" t="s">
        <v>9</v>
      </c>
      <c r="B2">
        <v>120</v>
      </c>
      <c r="C2">
        <v>60</v>
      </c>
      <c r="D2">
        <v>-10</v>
      </c>
      <c r="E2">
        <v>95</v>
      </c>
      <c r="F2">
        <f>(B2+C2+D2)-E2</f>
        <v>75</v>
      </c>
      <c r="G2">
        <f>F2*0.95</f>
        <v>71.25</v>
      </c>
      <c r="H2">
        <f>F2-G2</f>
        <v>3.75</v>
      </c>
      <c r="I2" s="2">
        <v>1.2</v>
      </c>
      <c r="J2">
        <f>H2*I2</f>
        <v>4.5</v>
      </c>
    </row>
    <row r="3" spans="1:10" x14ac:dyDescent="0.35">
      <c r="A3" t="s">
        <v>10</v>
      </c>
      <c r="B3">
        <v>150</v>
      </c>
      <c r="C3">
        <v>40</v>
      </c>
      <c r="D3">
        <v>5</v>
      </c>
      <c r="E3">
        <v>170</v>
      </c>
      <c r="F3">
        <f t="shared" ref="F3:F10" si="0">(B3+C3+D3)-E3</f>
        <v>25</v>
      </c>
      <c r="G3">
        <f t="shared" ref="G3:G10" si="1">F3*0.95</f>
        <v>23.75</v>
      </c>
      <c r="H3">
        <f t="shared" ref="H3:H10" si="2">F3-G3</f>
        <v>1.25</v>
      </c>
      <c r="I3" s="2">
        <v>2</v>
      </c>
      <c r="J3">
        <f t="shared" ref="J3:J10" si="3">H3*I3</f>
        <v>2.5</v>
      </c>
    </row>
    <row r="4" spans="1:10" x14ac:dyDescent="0.35">
      <c r="A4" t="s">
        <v>11</v>
      </c>
      <c r="B4">
        <v>80</v>
      </c>
      <c r="C4">
        <v>25</v>
      </c>
      <c r="D4">
        <v>0</v>
      </c>
      <c r="E4">
        <v>70</v>
      </c>
      <c r="F4">
        <f t="shared" si="0"/>
        <v>35</v>
      </c>
      <c r="G4">
        <f t="shared" si="1"/>
        <v>33.25</v>
      </c>
      <c r="H4">
        <f t="shared" si="2"/>
        <v>1.75</v>
      </c>
      <c r="I4" s="2">
        <v>12.5</v>
      </c>
      <c r="J4">
        <f t="shared" si="3"/>
        <v>21.875</v>
      </c>
    </row>
    <row r="5" spans="1:10" x14ac:dyDescent="0.35">
      <c r="A5" t="s">
        <v>12</v>
      </c>
      <c r="B5">
        <v>100</v>
      </c>
      <c r="C5">
        <v>30</v>
      </c>
      <c r="D5">
        <v>-5</v>
      </c>
      <c r="E5">
        <v>90</v>
      </c>
      <c r="F5">
        <f t="shared" si="0"/>
        <v>35</v>
      </c>
      <c r="G5">
        <f t="shared" si="1"/>
        <v>33.25</v>
      </c>
      <c r="H5">
        <f t="shared" si="2"/>
        <v>1.75</v>
      </c>
      <c r="I5" s="2">
        <v>1.8</v>
      </c>
      <c r="J5">
        <f t="shared" si="3"/>
        <v>3.15</v>
      </c>
    </row>
    <row r="6" spans="1:10" x14ac:dyDescent="0.35">
      <c r="A6" t="s">
        <v>13</v>
      </c>
      <c r="B6">
        <v>200</v>
      </c>
      <c r="C6">
        <v>50</v>
      </c>
      <c r="D6">
        <v>10</v>
      </c>
      <c r="E6">
        <v>210</v>
      </c>
      <c r="F6">
        <f t="shared" si="0"/>
        <v>50</v>
      </c>
      <c r="G6">
        <f t="shared" si="1"/>
        <v>47.5</v>
      </c>
      <c r="H6">
        <f t="shared" si="2"/>
        <v>2.5</v>
      </c>
      <c r="I6" s="2">
        <v>1.5</v>
      </c>
      <c r="J6">
        <f t="shared" si="3"/>
        <v>3.75</v>
      </c>
    </row>
    <row r="7" spans="1:10" x14ac:dyDescent="0.35">
      <c r="A7" t="s">
        <v>15</v>
      </c>
      <c r="B7">
        <v>90</v>
      </c>
      <c r="C7">
        <v>20</v>
      </c>
      <c r="D7">
        <v>0</v>
      </c>
      <c r="E7">
        <v>80</v>
      </c>
      <c r="F7">
        <f t="shared" si="0"/>
        <v>30</v>
      </c>
      <c r="G7">
        <f t="shared" si="1"/>
        <v>28.5</v>
      </c>
      <c r="H7">
        <f t="shared" si="2"/>
        <v>1.5</v>
      </c>
      <c r="I7" s="2">
        <v>2.8</v>
      </c>
      <c r="J7">
        <f t="shared" si="3"/>
        <v>4.1999999999999993</v>
      </c>
    </row>
    <row r="8" spans="1:10" x14ac:dyDescent="0.35">
      <c r="A8" t="s">
        <v>16</v>
      </c>
      <c r="B8">
        <v>60</v>
      </c>
      <c r="C8">
        <v>15</v>
      </c>
      <c r="D8">
        <v>-3</v>
      </c>
      <c r="E8">
        <v>55</v>
      </c>
      <c r="F8">
        <f t="shared" si="0"/>
        <v>17</v>
      </c>
      <c r="G8">
        <f t="shared" si="1"/>
        <v>16.149999999999999</v>
      </c>
      <c r="H8">
        <f t="shared" si="2"/>
        <v>0.85000000000000142</v>
      </c>
      <c r="I8" s="2">
        <v>1.6</v>
      </c>
      <c r="J8">
        <f t="shared" si="3"/>
        <v>1.3600000000000023</v>
      </c>
    </row>
    <row r="9" spans="1:10" x14ac:dyDescent="0.35">
      <c r="A9" t="s">
        <v>17</v>
      </c>
      <c r="B9">
        <v>300</v>
      </c>
      <c r="C9">
        <v>50</v>
      </c>
      <c r="D9">
        <v>0</v>
      </c>
      <c r="E9">
        <v>310</v>
      </c>
      <c r="F9">
        <f t="shared" si="0"/>
        <v>40</v>
      </c>
      <c r="G9">
        <f t="shared" si="1"/>
        <v>38</v>
      </c>
      <c r="H9">
        <f t="shared" si="2"/>
        <v>2</v>
      </c>
      <c r="I9" s="2">
        <v>0.05</v>
      </c>
      <c r="J9">
        <f t="shared" si="3"/>
        <v>0.1</v>
      </c>
    </row>
    <row r="10" spans="1:10" x14ac:dyDescent="0.35">
      <c r="A10" t="s">
        <v>18</v>
      </c>
      <c r="B10">
        <v>20</v>
      </c>
      <c r="C10">
        <v>5</v>
      </c>
      <c r="D10">
        <v>0</v>
      </c>
      <c r="E10">
        <v>18</v>
      </c>
      <c r="F10">
        <f t="shared" si="0"/>
        <v>7</v>
      </c>
      <c r="G10">
        <f t="shared" si="1"/>
        <v>6.6499999999999995</v>
      </c>
      <c r="H10">
        <f t="shared" si="2"/>
        <v>0.35000000000000053</v>
      </c>
      <c r="I10" s="2">
        <v>8</v>
      </c>
      <c r="J10">
        <f t="shared" si="3"/>
        <v>2.8000000000000043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2025-12-05T16:04:57Z</dcterms:modified>
</cp:coreProperties>
</file>